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amian\Downloads\"/>
    </mc:Choice>
  </mc:AlternateContent>
  <xr:revisionPtr revIDLastSave="0" documentId="13_ncr:1_{73460DDE-F7D4-4037-9FE3-3B849A2146EC}" xr6:coauthVersionLast="47" xr6:coauthVersionMax="47" xr10:uidLastSave="{00000000-0000-0000-0000-000000000000}"/>
  <bookViews>
    <workbookView xWindow="-93" yWindow="-93" windowWidth="25786" windowHeight="1546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1" l="1"/>
  <c r="G24" i="1"/>
  <c r="G19" i="1"/>
  <c r="G18" i="1"/>
  <c r="G17" i="1"/>
  <c r="G20" i="1" s="1"/>
  <c r="G22" i="1" s="1"/>
  <c r="G9" i="1"/>
  <c r="G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<sst xmlns="http://schemas.openxmlformats.org/spreadsheetml/2006/main" count="80" uniqueCount="53">
  <si>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</si>
  <si>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</si>
  <si>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</si>
  <si>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</si>
  <si>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</si>
  <si>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</si>
  <si>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</si>
  <si>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</si>
  <si>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</si>
  <si>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</si>
  <si>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</si>
  <si>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</si>
  <si>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</si>
  <si>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</si>
  <si>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</si>
  <si>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</si>
  <si>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</si>
  <si>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</si>
  <si>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+3.3V Power Rail</t>
  </si>
  <si>
    <t>Total Current Required on +3.3V Rail</t>
  </si>
  <si>
    <t>c4. Regulator or Source Choice</t>
  </si>
  <si>
    <t xml:space="preserve"> +3.3V low-dropout regulator</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</si>
  <si>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</si>
  <si>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</si>
  <si>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</si>
  <si>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</si>
  <si>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</si>
  <si>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</si>
  <si>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</si>
  <si>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</si>
  <si>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</si>
  <si>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</si>
  <si>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</si>
  <si>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</si>
  <si>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</si>
  <si>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ESP32</t>
  </si>
  <si>
    <t>ESP32-S3-WROOM-1-N8</t>
  </si>
  <si>
    <t>2.3V-3.6V</t>
  </si>
  <si>
    <t xml:space="preserve"> +4V - 40V</t>
  </si>
  <si>
    <t>Red LED</t>
  </si>
  <si>
    <t>Yellow LED</t>
  </si>
  <si>
    <t>150060SS75000</t>
  </si>
  <si>
    <t>150060YS75000</t>
  </si>
  <si>
    <t>+3.3V Power Rail -&gt; LM2575-3.3</t>
  </si>
  <si>
    <t>1.9V-2.4V</t>
  </si>
  <si>
    <t>2V-2.4V</t>
  </si>
  <si>
    <t>+3.3V Regulator</t>
  </si>
  <si>
    <t>LM2575-3.3WU-TR</t>
  </si>
  <si>
    <t>+4V-40V</t>
  </si>
  <si>
    <t>+3.3V</t>
  </si>
  <si>
    <t>Damian</t>
  </si>
  <si>
    <t>MQTT Subsystem</t>
  </si>
  <si>
    <t>MQTT Subsystem Power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</si>
</sst>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b/>
      <sz val="12"/>
      <name val="Calibri"/>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56">
    <xf numFmtId="0" fontId="0" fillId="0" borderId="0" xfId="0"/>
    <xf numFmtId="0" fontId="1"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1" fillId="0" borderId="8" xfId="0" applyFont="1" applyBorder="1"/>
    <xf numFmtId="0" fontId="3" fillId="0" borderId="0" xfId="0" applyFont="1" applyAlignment="1">
      <alignment horizontal="center"/>
    </xf>
    <xf numFmtId="0" fontId="1" fillId="0" borderId="9" xfId="0" applyFont="1" applyBorder="1"/>
    <xf numFmtId="0" fontId="4" fillId="3" borderId="10" xfId="0" applyFont="1" applyFill="1" applyBorder="1"/>
    <xf numFmtId="9" fontId="0" fillId="0" borderId="9" xfId="0" applyNumberForma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3" fillId="0" borderId="9" xfId="0" applyFont="1" applyBorder="1" applyAlignment="1">
      <alignment horizontal="center"/>
    </xf>
    <xf numFmtId="0" fontId="3" fillId="0" borderId="14" xfId="0" applyFont="1" applyBorder="1" applyAlignment="1">
      <alignment horizontal="center"/>
    </xf>
    <xf numFmtId="0" fontId="0" fillId="2" borderId="0" xfId="0" applyFill="1"/>
    <xf numFmtId="0" fontId="0" fillId="0" borderId="0" xfId="0"/>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0" fontId="4" fillId="0" borderId="0" xfId="0" applyFont="1" applyAlignment="1">
      <alignment horizontal="right"/>
    </xf>
    <xf numFmtId="0" fontId="2" fillId="0" borderId="12" xfId="0" applyFont="1" applyBorder="1"/>
    <xf numFmtId="49" fontId="4" fillId="0" borderId="0" xfId="0" applyNumberFormat="1" applyFont="1" applyAlignment="1">
      <alignment horizontal="right"/>
    </xf>
    <xf numFmtId="0" fontId="2" fillId="0" borderId="13" xfId="0" applyFont="1" applyBorder="1"/>
    <xf numFmtId="0" fontId="5" fillId="0" borderId="0" xfId="0" applyFont="1" applyAlignment="1">
      <alignment wrapText="1"/>
    </xf>
    <xf numFmtId="0" fontId="7" fillId="4" borderId="0" xfId="0" applyFont="1" applyFill="1" applyAlignment="1">
      <alignment horizontal="left" wrapText="1"/>
    </xf>
    <xf numFmtId="0" fontId="4" fillId="2" borderId="0" xfId="0" applyFont="1" applyFill="1"/>
    <xf numFmtId="0" fontId="4" fillId="0" borderId="11" xfId="0" quotePrefix="1" applyFont="1" applyBorder="1" applyAlignment="1">
      <alignment wrapText="1"/>
    </xf>
    <xf numFmtId="0" fontId="5" fillId="0" borderId="0" xfId="0" quotePrefix="1" applyFont="1" applyAlignment="1">
      <alignment horizontal="left"/>
    </xf>
    <xf numFmtId="0" fontId="5" fillId="0" borderId="0" xfId="0" quotePrefix="1" applyFont="1" applyAlignment="1">
      <alignment horizontal="center"/>
    </xf>
    <xf numFmtId="0" fontId="8" fillId="0" borderId="1" xfId="0" quotePrefix="1" applyFont="1" applyBorder="1" applyAlignment="1">
      <alignment horizontal="left"/>
    </xf>
    <xf numFmtId="0" fontId="9"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8"/>
  <sheetViews>
    <sheetView tabSelected="1" workbookViewId="0">
      <selection activeCell="E5" sqref="E5"/>
    </sheetView>
  </sheetViews>
  <sheetFormatPr defaultColWidth="13.44140625" defaultRowHeight="15.75" customHeight="1" x14ac:dyDescent="0.55000000000000004"/>
  <cols>
    <col min="1" max="1" width="26.109375" customWidth="1"/>
    <col min="2" max="2" width="23.109375" customWidth="1"/>
    <col min="3" max="3" width="13.44140625" customWidth="1"/>
    <col min="4" max="4" width="11.44140625" customWidth="1"/>
    <col min="5" max="5" width="6.88671875" customWidth="1"/>
    <col min="6" max="6" width="35.0546875" customWidth="1"/>
    <col min="7" max="7" width="27.6640625" customWidth="1"/>
    <col min="8" max="8" width="9" customWidth="1"/>
  </cols>
  <sheetData>
    <row r="1" spans="1:8" ht="30" customHeight="1" x14ac:dyDescent="1">
      <c r="A1" s="55" t="s">
        <v>52</v>
      </c>
      <c r="B1" s="39"/>
      <c r="C1" s="39"/>
      <c r="D1" s="39"/>
      <c r="E1" s="39"/>
      <c r="F1" s="39"/>
      <c r="G1" s="39"/>
      <c r="H1" s="39"/>
    </row>
    <row r="2" spans="1:8" ht="15" customHeight="1" x14ac:dyDescent="0.55000000000000004">
      <c r="A2" s="1" t="s">
        <v>0</v>
      </c>
      <c r="B2" s="54">
        <v>305</v>
      </c>
      <c r="D2" s="2"/>
      <c r="E2" s="2"/>
    </row>
    <row r="3" spans="1:8" ht="15" customHeight="1" x14ac:dyDescent="0.55000000000000004">
      <c r="A3" s="3" t="s">
        <v>1</v>
      </c>
      <c r="B3" s="1" t="s">
        <v>51</v>
      </c>
      <c r="C3" s="4"/>
      <c r="D3" s="2"/>
      <c r="E3" s="2"/>
      <c r="F3" s="4"/>
      <c r="G3" s="4"/>
      <c r="H3" s="4"/>
    </row>
    <row r="4" spans="1:8" ht="15" customHeight="1" x14ac:dyDescent="0.55000000000000004">
      <c r="A4" s="3" t="s">
        <v>2</v>
      </c>
      <c r="B4" s="1" t="s">
        <v>50</v>
      </c>
      <c r="C4" s="4"/>
      <c r="D4" s="2"/>
      <c r="E4" s="2"/>
      <c r="F4" s="4"/>
      <c r="G4" s="4"/>
      <c r="H4" s="4"/>
    </row>
    <row r="5" spans="1:8" ht="15" customHeight="1" x14ac:dyDescent="0.55000000000000004">
      <c r="A5" s="3" t="s">
        <v>3</v>
      </c>
      <c r="B5" s="1"/>
      <c r="C5" s="4"/>
      <c r="D5" s="2"/>
      <c r="E5" s="2"/>
      <c r="F5" s="4"/>
      <c r="G5" s="4"/>
      <c r="H5" s="4"/>
    </row>
    <row r="6" spans="1:8" ht="15" customHeight="1" x14ac:dyDescent="0.55000000000000004">
      <c r="A6" s="5"/>
      <c r="B6" s="4"/>
      <c r="C6" s="4"/>
      <c r="D6" s="2"/>
      <c r="E6" s="2"/>
      <c r="F6" s="4"/>
      <c r="G6" s="4"/>
      <c r="H6" s="4"/>
    </row>
    <row r="7" spans="1:8" ht="15" customHeight="1" x14ac:dyDescent="0.55000000000000004">
      <c r="A7" s="40" t="s">
        <v>4</v>
      </c>
      <c r="B7" s="41"/>
      <c r="C7" s="41"/>
      <c r="D7" s="41"/>
      <c r="E7" s="41"/>
      <c r="F7" s="41"/>
      <c r="G7" s="41"/>
      <c r="H7" s="42"/>
    </row>
    <row r="8" spans="1:8" ht="15" customHeight="1" x14ac:dyDescent="0.55000000000000004">
      <c r="A8" s="6" t="s">
        <v>5</v>
      </c>
      <c r="B8" s="7" t="s">
        <v>6</v>
      </c>
      <c r="C8" s="7" t="s">
        <v>7</v>
      </c>
      <c r="D8" s="8" t="s">
        <v>8</v>
      </c>
      <c r="E8" s="8" t="s">
        <v>9</v>
      </c>
      <c r="F8" s="9" t="s">
        <v>10</v>
      </c>
      <c r="G8" s="10" t="s">
        <v>11</v>
      </c>
      <c r="H8" s="10" t="s">
        <v>12</v>
      </c>
    </row>
    <row r="9" spans="1:8" ht="15" customHeight="1" x14ac:dyDescent="0.55000000000000004">
      <c r="A9" s="11"/>
      <c r="B9" t="s">
        <v>35</v>
      </c>
      <c r="C9" t="s">
        <v>36</v>
      </c>
      <c r="D9" s="12" t="s">
        <v>37</v>
      </c>
      <c r="E9" s="13">
        <v>1</v>
      </c>
      <c r="F9">
        <v>1000</v>
      </c>
      <c r="G9" s="14">
        <f t="shared" ref="G9" si="0">E9*F9</f>
        <v>1000</v>
      </c>
      <c r="H9" s="15" t="s">
        <v>14</v>
      </c>
    </row>
    <row r="10" spans="1:8" ht="15" customHeight="1" x14ac:dyDescent="0.55000000000000004">
      <c r="A10" s="11"/>
      <c r="B10" s="16"/>
      <c r="C10" s="16"/>
      <c r="D10" s="16"/>
      <c r="E10" s="16"/>
      <c r="F10" s="16"/>
      <c r="G10" s="16"/>
      <c r="H10" s="16"/>
    </row>
    <row r="11" spans="1:8" ht="15" customHeight="1" x14ac:dyDescent="0.55000000000000004">
      <c r="A11" s="11"/>
    </row>
    <row r="12" spans="1:8" ht="15" customHeight="1" x14ac:dyDescent="0.55000000000000004">
      <c r="A12" s="11"/>
      <c r="B12" s="16"/>
      <c r="C12" s="16"/>
      <c r="D12" s="16"/>
      <c r="E12" s="16"/>
      <c r="F12" s="16"/>
      <c r="G12" s="16"/>
      <c r="H12" s="16"/>
    </row>
    <row r="13" spans="1:8" ht="15" customHeight="1" x14ac:dyDescent="0.55000000000000004">
      <c r="A13" s="17"/>
      <c r="B13" s="5"/>
      <c r="C13" s="4"/>
      <c r="D13" s="18"/>
      <c r="E13" s="2"/>
      <c r="F13" s="4"/>
      <c r="G13" s="19"/>
      <c r="H13" s="19"/>
    </row>
    <row r="14" spans="1:8" ht="15" customHeight="1" x14ac:dyDescent="0.55000000000000004">
      <c r="A14" s="40" t="s">
        <v>15</v>
      </c>
      <c r="B14" s="41"/>
      <c r="C14" s="41"/>
      <c r="D14" s="41"/>
      <c r="E14" s="41"/>
      <c r="F14" s="41"/>
      <c r="G14" s="41"/>
      <c r="H14" s="42"/>
    </row>
    <row r="15" spans="1:8" ht="15" customHeight="1" x14ac:dyDescent="0.55000000000000004">
      <c r="A15" s="20" t="s">
        <v>18</v>
      </c>
      <c r="B15" s="7" t="s">
        <v>6</v>
      </c>
      <c r="C15" s="7" t="s">
        <v>7</v>
      </c>
      <c r="D15" s="8" t="s">
        <v>8</v>
      </c>
      <c r="E15" s="8" t="s">
        <v>9</v>
      </c>
      <c r="F15" s="9" t="s">
        <v>10</v>
      </c>
      <c r="G15" s="26" t="s">
        <v>11</v>
      </c>
      <c r="H15" s="26" t="s">
        <v>12</v>
      </c>
    </row>
    <row r="16" spans="1:8" ht="15" customHeight="1" x14ac:dyDescent="0.55000000000000004">
      <c r="A16" s="11"/>
      <c r="B16" s="16" t="s">
        <v>35</v>
      </c>
      <c r="C16" t="s">
        <v>36</v>
      </c>
      <c r="D16" s="12" t="s">
        <v>37</v>
      </c>
      <c r="E16" s="13">
        <v>1</v>
      </c>
      <c r="F16">
        <v>500</v>
      </c>
      <c r="G16" s="14">
        <v>500</v>
      </c>
      <c r="H16" s="15" t="s">
        <v>14</v>
      </c>
    </row>
    <row r="17" spans="1:8" ht="15" customHeight="1" x14ac:dyDescent="0.55000000000000004">
      <c r="A17" s="11"/>
      <c r="B17" t="s">
        <v>39</v>
      </c>
      <c r="C17" t="s">
        <v>41</v>
      </c>
      <c r="D17" s="13" t="s">
        <v>44</v>
      </c>
      <c r="E17" s="13">
        <v>1</v>
      </c>
      <c r="F17">
        <v>20</v>
      </c>
      <c r="G17" s="14">
        <f t="shared" ref="G17:G19" si="1">E17*F17</f>
        <v>20</v>
      </c>
      <c r="H17" s="15" t="s">
        <v>14</v>
      </c>
    </row>
    <row r="18" spans="1:8" ht="15" customHeight="1" x14ac:dyDescent="0.55000000000000004">
      <c r="A18" s="11"/>
      <c r="B18" t="s">
        <v>40</v>
      </c>
      <c r="C18" t="s">
        <v>42</v>
      </c>
      <c r="D18" s="13" t="s">
        <v>45</v>
      </c>
      <c r="E18" s="13">
        <v>1</v>
      </c>
      <c r="F18">
        <v>20</v>
      </c>
      <c r="G18" s="14">
        <f t="shared" si="1"/>
        <v>20</v>
      </c>
      <c r="H18" s="15" t="s">
        <v>14</v>
      </c>
    </row>
    <row r="19" spans="1:8" ht="15" customHeight="1" x14ac:dyDescent="0.55000000000000004">
      <c r="A19" s="11"/>
      <c r="D19" s="13"/>
      <c r="E19" s="13"/>
      <c r="G19" s="14">
        <f t="shared" si="1"/>
        <v>0</v>
      </c>
      <c r="H19" s="15" t="s">
        <v>14</v>
      </c>
    </row>
    <row r="20" spans="1:8" ht="15" customHeight="1" x14ac:dyDescent="0.55000000000000004">
      <c r="A20" s="11"/>
      <c r="B20" s="43" t="s">
        <v>16</v>
      </c>
      <c r="C20" s="39"/>
      <c r="D20" s="39"/>
      <c r="E20" s="39"/>
      <c r="F20" s="39"/>
      <c r="G20" s="14">
        <f>SUM(G15:G19)</f>
        <v>540</v>
      </c>
      <c r="H20" s="15" t="s">
        <v>14</v>
      </c>
    </row>
    <row r="21" spans="1:8" ht="15" customHeight="1" x14ac:dyDescent="0.55000000000000004">
      <c r="A21" s="11"/>
      <c r="B21" s="43" t="s">
        <v>17</v>
      </c>
      <c r="C21" s="39"/>
      <c r="D21" s="39"/>
      <c r="E21" s="39"/>
      <c r="F21" s="39"/>
      <c r="G21" s="21">
        <v>0.25</v>
      </c>
      <c r="H21" s="21"/>
    </row>
    <row r="22" spans="1:8" ht="15" customHeight="1" x14ac:dyDescent="0.55000000000000004">
      <c r="A22" s="11"/>
      <c r="B22" s="44" t="s">
        <v>19</v>
      </c>
      <c r="C22" s="39"/>
      <c r="D22" s="39"/>
      <c r="E22" s="39"/>
      <c r="F22" s="39"/>
      <c r="G22" s="14">
        <f>G20*(1+G21)</f>
        <v>675</v>
      </c>
      <c r="H22" s="15" t="s">
        <v>14</v>
      </c>
    </row>
    <row r="23" spans="1:8" ht="15" customHeight="1" x14ac:dyDescent="0.55000000000000004">
      <c r="A23" s="22"/>
      <c r="B23" s="16"/>
      <c r="D23" s="12"/>
      <c r="E23" s="13"/>
      <c r="G23" s="14"/>
      <c r="H23" s="19"/>
    </row>
    <row r="24" spans="1:8" ht="15" customHeight="1" x14ac:dyDescent="0.55000000000000004">
      <c r="A24" s="22" t="s">
        <v>20</v>
      </c>
      <c r="B24" s="16" t="s">
        <v>21</v>
      </c>
      <c r="C24" t="s">
        <v>47</v>
      </c>
      <c r="D24" s="12" t="s">
        <v>38</v>
      </c>
      <c r="E24" s="13">
        <v>1</v>
      </c>
      <c r="F24">
        <v>1000</v>
      </c>
      <c r="G24" s="14">
        <f>E24*F24</f>
        <v>1000</v>
      </c>
      <c r="H24" s="15" t="s">
        <v>14</v>
      </c>
    </row>
    <row r="25" spans="1:8" ht="15" customHeight="1" x14ac:dyDescent="0.55000000000000004">
      <c r="A25" s="11"/>
      <c r="B25" s="46" t="s">
        <v>22</v>
      </c>
      <c r="C25" s="39"/>
      <c r="D25" s="39"/>
      <c r="E25" s="39"/>
      <c r="F25" s="39"/>
      <c r="G25" s="25">
        <f>G24-G22</f>
        <v>325</v>
      </c>
      <c r="H25" s="15" t="s">
        <v>14</v>
      </c>
    </row>
    <row r="26" spans="1:8" ht="15" customHeight="1" x14ac:dyDescent="0.55000000000000004">
      <c r="A26" s="27"/>
      <c r="B26" s="28"/>
      <c r="C26" s="28"/>
      <c r="D26" s="28"/>
      <c r="E26" s="28"/>
      <c r="F26" s="28"/>
      <c r="G26" s="29"/>
      <c r="H26" s="30"/>
    </row>
    <row r="27" spans="1:8" ht="15" customHeight="1" x14ac:dyDescent="0.55000000000000004">
      <c r="A27" s="40" t="s">
        <v>23</v>
      </c>
      <c r="B27" s="41"/>
      <c r="C27" s="41"/>
      <c r="D27" s="41"/>
      <c r="E27" s="41"/>
      <c r="F27" s="41"/>
      <c r="G27" s="41"/>
      <c r="H27" s="42"/>
    </row>
    <row r="28" spans="1:8" ht="15" customHeight="1" x14ac:dyDescent="0.55000000000000004">
      <c r="A28" s="51" t="s">
        <v>43</v>
      </c>
      <c r="B28" s="45"/>
      <c r="C28" s="45"/>
      <c r="D28" s="45"/>
      <c r="E28" s="45"/>
      <c r="F28" s="45"/>
      <c r="G28" s="45"/>
      <c r="H28" s="47"/>
    </row>
    <row r="29" spans="1:8" ht="15" customHeight="1" x14ac:dyDescent="0.55000000000000004">
      <c r="A29" s="40" t="s">
        <v>24</v>
      </c>
      <c r="B29" s="41"/>
      <c r="C29" s="41"/>
      <c r="D29" s="41"/>
      <c r="E29" s="41"/>
      <c r="F29" s="41"/>
      <c r="G29" s="41"/>
      <c r="H29" s="42"/>
    </row>
    <row r="30" spans="1:8" ht="15" customHeight="1" x14ac:dyDescent="0.55000000000000004">
      <c r="A30" s="20" t="s">
        <v>25</v>
      </c>
      <c r="B30" s="7" t="s">
        <v>6</v>
      </c>
      <c r="C30" s="7" t="s">
        <v>7</v>
      </c>
      <c r="D30" s="8" t="s">
        <v>8</v>
      </c>
      <c r="E30" s="31" t="s">
        <v>26</v>
      </c>
      <c r="F30" s="9" t="s">
        <v>10</v>
      </c>
      <c r="G30" s="26" t="s">
        <v>11</v>
      </c>
      <c r="H30" s="26" t="s">
        <v>12</v>
      </c>
    </row>
    <row r="31" spans="1:8" ht="15" customHeight="1" x14ac:dyDescent="0.55000000000000004">
      <c r="A31" s="32" t="s">
        <v>27</v>
      </c>
      <c r="B31" s="23" t="s">
        <v>28</v>
      </c>
      <c r="C31" s="12" t="s">
        <v>13</v>
      </c>
      <c r="D31" s="12" t="s">
        <v>29</v>
      </c>
      <c r="E31" s="12" t="s">
        <v>30</v>
      </c>
      <c r="F31" s="24">
        <v>5000</v>
      </c>
      <c r="G31" s="33">
        <v>5000</v>
      </c>
      <c r="H31" s="34" t="s">
        <v>14</v>
      </c>
    </row>
    <row r="32" spans="1:8" ht="15" customHeight="1" x14ac:dyDescent="0.55000000000000004">
      <c r="A32" s="32"/>
      <c r="B32" s="23"/>
      <c r="C32" s="12"/>
      <c r="D32" s="12"/>
      <c r="E32" s="12"/>
      <c r="F32" s="24"/>
      <c r="G32" s="33"/>
      <c r="H32" s="34"/>
    </row>
    <row r="33" spans="1:8" ht="15" customHeight="1" x14ac:dyDescent="0.55000000000000004">
      <c r="A33" s="32"/>
      <c r="B33" s="52" t="s">
        <v>46</v>
      </c>
      <c r="C33" s="12" t="s">
        <v>47</v>
      </c>
      <c r="D33" s="53" t="s">
        <v>48</v>
      </c>
      <c r="E33" s="53" t="s">
        <v>49</v>
      </c>
      <c r="F33" s="24">
        <v>1000</v>
      </c>
      <c r="G33" s="33"/>
      <c r="H33" s="34"/>
    </row>
    <row r="34" spans="1:8" ht="15" customHeight="1" x14ac:dyDescent="0.55000000000000004">
      <c r="A34" s="35"/>
      <c r="B34" s="46" t="s">
        <v>31</v>
      </c>
      <c r="C34" s="39"/>
      <c r="D34" s="39"/>
      <c r="E34" s="39"/>
      <c r="F34" s="39"/>
      <c r="G34" s="33">
        <f>G31-F33</f>
        <v>4000</v>
      </c>
      <c r="H34" s="34" t="s">
        <v>14</v>
      </c>
    </row>
    <row r="35" spans="1:8" ht="15" customHeight="1" x14ac:dyDescent="0.55000000000000004">
      <c r="A35" s="35"/>
      <c r="B35" s="2"/>
      <c r="C35" s="2"/>
      <c r="D35" s="18"/>
      <c r="E35" s="18"/>
      <c r="F35" s="18"/>
      <c r="G35" s="36"/>
      <c r="H35" s="37"/>
    </row>
    <row r="36" spans="1:8" ht="15" customHeight="1" x14ac:dyDescent="0.55000000000000004">
      <c r="A36" s="50" t="s">
        <v>32</v>
      </c>
      <c r="B36" s="39"/>
      <c r="C36" s="39"/>
      <c r="D36" s="39"/>
      <c r="E36" s="39"/>
      <c r="F36" s="39"/>
      <c r="G36" s="38"/>
      <c r="H36" s="38"/>
    </row>
    <row r="37" spans="1:8" ht="15" customHeight="1" x14ac:dyDescent="0.55000000000000004">
      <c r="A37" s="48" t="s">
        <v>33</v>
      </c>
      <c r="B37" s="39"/>
      <c r="C37" s="39"/>
      <c r="D37" s="39"/>
      <c r="E37" s="39"/>
      <c r="F37" s="39"/>
      <c r="G37" s="39"/>
      <c r="H37" s="39"/>
    </row>
    <row r="38" spans="1:8" ht="15" customHeight="1" x14ac:dyDescent="0.55000000000000004">
      <c r="A38" s="49" t="s">
        <v>34</v>
      </c>
      <c r="B38" s="39"/>
      <c r="C38" s="39"/>
      <c r="D38" s="39"/>
      <c r="E38" s="39"/>
      <c r="F38" s="39"/>
      <c r="G38" s="39"/>
      <c r="H38" s="39"/>
    </row>
  </sheetData>
  <mergeCells count="14">
    <mergeCell ref="A28:H28"/>
    <mergeCell ref="A37:H37"/>
    <mergeCell ref="A38:H38"/>
    <mergeCell ref="A29:H29"/>
    <mergeCell ref="B34:F34"/>
    <mergeCell ref="A36:F36"/>
    <mergeCell ref="B20:F20"/>
    <mergeCell ref="B21:F21"/>
    <mergeCell ref="B22:F22"/>
    <mergeCell ref="B25:F25"/>
    <mergeCell ref="A27:H27"/>
    <mergeCell ref="A1:H1"/>
    <mergeCell ref="A7:H7"/>
    <mergeCell ref="A14:H14"/>
  </mergeCells>
  <conditionalFormatting sqref="G25">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Damian Novgorodov</cp:lastModifiedBy>
  <dcterms:modified xsi:type="dcterms:W3CDTF">2026-05-05T06:01:01Z</dcterms:modified>
</cp:coreProperties>
</file>